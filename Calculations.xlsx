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5" i="1" l="1"/>
  <c r="H5" i="1"/>
  <c r="G5" i="1"/>
  <c r="I4" i="1"/>
  <c r="I3" i="1"/>
  <c r="H4" i="1"/>
  <c r="H3" i="1"/>
  <c r="G4" i="1"/>
  <c r="G3" i="1"/>
  <c r="G2" i="1"/>
</calcChain>
</file>

<file path=xl/sharedStrings.xml><?xml version="1.0" encoding="utf-8"?>
<sst xmlns="http://schemas.openxmlformats.org/spreadsheetml/2006/main" count="9" uniqueCount="9">
  <si>
    <t>Demand</t>
  </si>
  <si>
    <t>sgen</t>
  </si>
  <si>
    <t>bessMWh</t>
  </si>
  <si>
    <t>bessSOC</t>
  </si>
  <si>
    <t>bessMW</t>
  </si>
  <si>
    <t>Balance with EXT grid</t>
  </si>
  <si>
    <t>EXT Grid</t>
  </si>
  <si>
    <t>Line loss</t>
  </si>
  <si>
    <t>Compare with Ext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</si>
</sst>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G5" sqref="G5"/>
    </sheetView>
  </sheetViews>
  <sheetFormatPr defaultRowHeight="15" x14ac:dyDescent="0.25"/>
  <cols>
    <col min="7" max="7" width="14.5703125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5</v>
      </c>
      <c r="H1" s="1" t="s">
        <v>7</v>
      </c>
      <c r="I1" s="1" t="s">
        <v>8</v>
      </c>
    </row>
    <row r="2" spans="1:9" x14ac:dyDescent="0.25">
      <c r="A2">
        <v>35.352984999999997</v>
      </c>
      <c r="B2">
        <v>52.302784000000003</v>
      </c>
      <c r="C2">
        <v>12.503195</v>
      </c>
      <c r="D2">
        <v>9.5399999999999991</v>
      </c>
      <c r="E2">
        <v>0.65</v>
      </c>
      <c r="F2">
        <v>-7.09</v>
      </c>
      <c r="G2">
        <f>A2+D2-B2</f>
        <v>-7.4097990000000067</v>
      </c>
    </row>
    <row r="3" spans="1:9" x14ac:dyDescent="0.25">
      <c r="A3">
        <v>56.054526000000003</v>
      </c>
      <c r="B3">
        <v>4.0829199999999997</v>
      </c>
      <c r="C3">
        <v>1.1358999999999999</v>
      </c>
      <c r="D3">
        <v>0</v>
      </c>
      <c r="E3">
        <v>0.1</v>
      </c>
      <c r="F3">
        <v>53.706000000000003</v>
      </c>
      <c r="G3">
        <f>A3+D3-B3</f>
        <v>51.971606000000001</v>
      </c>
      <c r="H3">
        <f>F3-G3</f>
        <v>1.7343940000000018</v>
      </c>
      <c r="I3">
        <f>H3+G3</f>
        <v>53.706000000000003</v>
      </c>
    </row>
    <row r="4" spans="1:9" x14ac:dyDescent="0.25">
      <c r="A4">
        <v>54.45</v>
      </c>
      <c r="B4">
        <v>50.42</v>
      </c>
      <c r="C4">
        <v>4</v>
      </c>
      <c r="D4">
        <v>-4</v>
      </c>
      <c r="E4">
        <v>0.3</v>
      </c>
      <c r="F4">
        <v>0.16</v>
      </c>
      <c r="G4">
        <f>A4+D4-B4</f>
        <v>3.0000000000001137E-2</v>
      </c>
      <c r="H4">
        <f>F4-G4</f>
        <v>0.12999999999999887</v>
      </c>
      <c r="I4">
        <f>H4+G4</f>
        <v>0.16</v>
      </c>
    </row>
    <row r="5" spans="1:9" x14ac:dyDescent="0.25">
      <c r="A5">
        <v>35.35</v>
      </c>
      <c r="B5">
        <v>52.84</v>
      </c>
      <c r="D5">
        <v>5.68</v>
      </c>
      <c r="F5">
        <v>-11.45</v>
      </c>
      <c r="G5">
        <f>A5+D5-B5</f>
        <v>-11.810000000000002</v>
      </c>
      <c r="H5">
        <f>F5-G5</f>
        <v>0.36000000000000298</v>
      </c>
      <c r="I5">
        <f>H5+G5</f>
        <v>-11.45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2026-02-10T16:12:00Z</dcterms:modified>
</cp:coreProperties>
</file>